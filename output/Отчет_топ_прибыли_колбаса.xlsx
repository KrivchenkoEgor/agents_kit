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Топ_по_валовой_прибыли" sheetId="1" state="visible" r:id="rId3"/>
    <sheet name="Топ_прибыли_по_группам" sheetId="2" state="visible" r:id="rId4"/>
    <sheet name="Сводка_по_группам" sheetId="3" state="visible" r:id="rId5"/>
    <sheet name="Где_теряем" sheetId="4" state="visible" r:id="rId6"/>
    <sheet name="Методик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<sst xmlns="http://schemas.openxmlformats.org/spreadsheetml/2006/main" count="359" uniqueCount="126">
  <si>
    <t xml:space="preserve">Место</t>
  </si>
  <si>
    <t xml:space="preserve">Группа</t>
  </si>
  <si>
    <t xml:space="preserve">Код</t>
  </si>
  <si>
    <t xml:space="preserve">Название товара</t>
  </si>
  <si>
    <t xml:space="preserve">Тип продажи</t>
  </si>
  <si>
    <t xml:space="preserve">Продано за всё время (шт/кг)</t>
  </si>
  <si>
    <t xml:space="preserve">Продано ≈ кг</t>
  </si>
  <si>
    <t xml:space="preserve">Выручка, руб</t>
  </si>
  <si>
    <t xml:space="preserve">Валовая прибыль, руб</t>
  </si>
  <si>
    <t xml:space="preserve">Наценка, % от выручки</t>
  </si>
  <si>
    <t xml:space="preserve">В продаже 2026</t>
  </si>
  <si>
    <t xml:space="preserve">Колбаса вареная</t>
  </si>
  <si>
    <t xml:space="preserve">38331</t>
  </si>
  <si>
    <t xml:space="preserve">Колбаса СПК Докторская вареная 470г</t>
  </si>
  <si>
    <t xml:space="preserve">штучный, шт</t>
  </si>
  <si>
    <t xml:space="preserve">да</t>
  </si>
  <si>
    <t xml:space="preserve">Колбаса варенокопченая</t>
  </si>
  <si>
    <t xml:space="preserve">12773</t>
  </si>
  <si>
    <t xml:space="preserve">Сервелат СПК Вацлавский в/к 1кг</t>
  </si>
  <si>
    <t xml:space="preserve">весовой, кг</t>
  </si>
  <si>
    <t xml:space="preserve">167124</t>
  </si>
  <si>
    <t xml:space="preserve">Колбаса ВЯЗАНКА Докторская ГОСТ 400г</t>
  </si>
  <si>
    <t xml:space="preserve">06796</t>
  </si>
  <si>
    <t xml:space="preserve">Колбаса СПК Докторская 1кг</t>
  </si>
  <si>
    <t xml:space="preserve">108315</t>
  </si>
  <si>
    <t xml:space="preserve">Сервелат СПК Фирменный в/к 380г</t>
  </si>
  <si>
    <t xml:space="preserve">198904</t>
  </si>
  <si>
    <t xml:space="preserve">Сервелат ТОРГОВАЯ ПЛОЩАДЬ ГОСТ в/к 270г</t>
  </si>
  <si>
    <t xml:space="preserve">Ветчина</t>
  </si>
  <si>
    <t xml:space="preserve">38318</t>
  </si>
  <si>
    <t xml:space="preserve">Ветчина СПК Балтийская амитан 470г</t>
  </si>
  <si>
    <t xml:space="preserve">Сосиски</t>
  </si>
  <si>
    <t xml:space="preserve">88932</t>
  </si>
  <si>
    <t xml:space="preserve">Сосиска СПК Большая 340г</t>
  </si>
  <si>
    <t xml:space="preserve">08590</t>
  </si>
  <si>
    <t xml:space="preserve">Колбаса ТОРГОВАЯ ПЛОЩАДЬ Докторская синюга в/с 1кг</t>
  </si>
  <si>
    <t xml:space="preserve">170886</t>
  </si>
  <si>
    <t xml:space="preserve">Сосиски ВЯЗАНКА сливочные 450г</t>
  </si>
  <si>
    <t xml:space="preserve">06193</t>
  </si>
  <si>
    <t xml:space="preserve">Колбаса БРЮККЕ Докторская вареная 1кг</t>
  </si>
  <si>
    <t xml:space="preserve">95951</t>
  </si>
  <si>
    <t xml:space="preserve">Сосиски СПК молочные в/у 360г</t>
  </si>
  <si>
    <t xml:space="preserve">193703</t>
  </si>
  <si>
    <t xml:space="preserve">Колбаса ВЯЗАНКА Сливушка вареная 375г</t>
  </si>
  <si>
    <t xml:space="preserve">198898</t>
  </si>
  <si>
    <t xml:space="preserve">Колбаса ТОРГОВАЯ ПЛОЩАДЬ Докторская 350г</t>
  </si>
  <si>
    <t xml:space="preserve">Колбаса сырокопченая</t>
  </si>
  <si>
    <t xml:space="preserve">168658</t>
  </si>
  <si>
    <t xml:space="preserve">Колбаса ТОРГОВАЯ ПЛОЩАДЬ Балыковая с/к 180г</t>
  </si>
  <si>
    <t xml:space="preserve">188459</t>
  </si>
  <si>
    <t xml:space="preserve">Сервелат МИРАТОРГ в/к 375г</t>
  </si>
  <si>
    <t xml:space="preserve">192290</t>
  </si>
  <si>
    <t xml:space="preserve">Колбаса ВЫСОКИЙ ВКУС Докторская 350г</t>
  </si>
  <si>
    <t xml:space="preserve">159383</t>
  </si>
  <si>
    <t xml:space="preserve">Сосиски СТАРОДВОРСКИЕ КОЛБАСЫ Вязанка молочные 450г</t>
  </si>
  <si>
    <t xml:space="preserve">181778</t>
  </si>
  <si>
    <t xml:space="preserve">Сосиски СИБАГРО по-сибирски молочные 400г</t>
  </si>
  <si>
    <t xml:space="preserve">16242</t>
  </si>
  <si>
    <t xml:space="preserve">Сосиски СПК молочные 1кг</t>
  </si>
  <si>
    <t xml:space="preserve">Место в группе</t>
  </si>
  <si>
    <t xml:space="preserve">110928</t>
  </si>
  <si>
    <t xml:space="preserve">Ветчина ОМСКИЙ БЕКОН Сочная 500г</t>
  </si>
  <si>
    <t xml:space="preserve">192287</t>
  </si>
  <si>
    <t xml:space="preserve">Ветчина ВЫСОКИЙ ВКУС куриная рубленая 350г</t>
  </si>
  <si>
    <t xml:space="preserve">200905</t>
  </si>
  <si>
    <t xml:space="preserve">Ветчина НПФ Натуральная 400г</t>
  </si>
  <si>
    <t xml:space="preserve">188463</t>
  </si>
  <si>
    <t xml:space="preserve">Ветчина МИРАТОРГ Сочная 400г</t>
  </si>
  <si>
    <t xml:space="preserve">03967</t>
  </si>
  <si>
    <t xml:space="preserve">Сервелат ОБСКОЙ МК Европейский вязаный 1кг</t>
  </si>
  <si>
    <t xml:space="preserve">Колбаса полукопченая</t>
  </si>
  <si>
    <t xml:space="preserve">193695</t>
  </si>
  <si>
    <t xml:space="preserve">Колбаса ОМСКИЙ БЕКОН Краковская п/к 380г</t>
  </si>
  <si>
    <t xml:space="preserve">161817</t>
  </si>
  <si>
    <t xml:space="preserve">Колбаса ДЫМОВ Краковская п/к 400г</t>
  </si>
  <si>
    <t xml:space="preserve">185415</t>
  </si>
  <si>
    <t xml:space="preserve">Колбаса СПК Деревенская с чесночком и сальцем п/к 390г</t>
  </si>
  <si>
    <t xml:space="preserve">191679</t>
  </si>
  <si>
    <t xml:space="preserve">Колбаски ДЫМОВ Охотничья экспедиция п/к 240г</t>
  </si>
  <si>
    <t xml:space="preserve">186077</t>
  </si>
  <si>
    <t xml:space="preserve">Колбаса СИБАГРО свиная п/к 250г</t>
  </si>
  <si>
    <t xml:space="preserve">136680</t>
  </si>
  <si>
    <t xml:space="preserve">Колбаса СПК Юбилейная с/к 235г</t>
  </si>
  <si>
    <t xml:space="preserve">66995</t>
  </si>
  <si>
    <t xml:space="preserve">Колбаса СПК Коньячная с/к 235г</t>
  </si>
  <si>
    <t xml:space="preserve">188690</t>
  </si>
  <si>
    <t xml:space="preserve">Колбаса СМП Новониколаевская с/к 250г</t>
  </si>
  <si>
    <t xml:space="preserve">188689</t>
  </si>
  <si>
    <t xml:space="preserve">Колбаса СМП Пармская с/к 250г</t>
  </si>
  <si>
    <t xml:space="preserve">Сардельки, шпикачки</t>
  </si>
  <si>
    <t xml:space="preserve">173240</t>
  </si>
  <si>
    <t xml:space="preserve">Шпикачки ОМСКИЙ БЕКОН Чешские 400г</t>
  </si>
  <si>
    <t xml:space="preserve">06192</t>
  </si>
  <si>
    <t xml:space="preserve">Сардельки БРЮККЕ с сыром 1кг</t>
  </si>
  <si>
    <t xml:space="preserve">187257</t>
  </si>
  <si>
    <t xml:space="preserve">Сардельки ОМСКИЙ БЕКОН мясные 400г</t>
  </si>
  <si>
    <t xml:space="preserve">08634</t>
  </si>
  <si>
    <t xml:space="preserve">Сардельки ТОРГОВАЯ ПЛОЩАДЬ Классические 1кг</t>
  </si>
  <si>
    <t xml:space="preserve">05152</t>
  </si>
  <si>
    <t xml:space="preserve">Сардельки СПК Необыкновенные 1кг</t>
  </si>
  <si>
    <t xml:space="preserve">Товаров за период</t>
  </si>
  <si>
    <t xml:space="preserve">Продано ≈ кг (всего)</t>
  </si>
  <si>
    <t xml:space="preserve">Доля в прибыли, %</t>
  </si>
  <si>
    <t xml:space="preserve">110908</t>
  </si>
  <si>
    <t xml:space="preserve">Сервелат ТОРГОВАЯ ПЛОЩАДЬ Знак качества в/к в/у 380г</t>
  </si>
  <si>
    <t xml:space="preserve">НЕТ</t>
  </si>
  <si>
    <t xml:space="preserve">190592</t>
  </si>
  <si>
    <t xml:space="preserve">Колбаса САЛЯМИ ДИ РЕДЖИО Традиционная полусухая с/к 200г</t>
  </si>
  <si>
    <t xml:space="preserve">12857</t>
  </si>
  <si>
    <t xml:space="preserve">Сервелат КОЛЫВАНСКИЕ КОЛБАСЫ Финский п/к в/у 1кг</t>
  </si>
  <si>
    <t xml:space="preserve">208303</t>
  </si>
  <si>
    <t xml:space="preserve">Колбаса ТОРГОВАЯ ПЛОЩАДЬ Бутербродная 350г</t>
  </si>
  <si>
    <t xml:space="preserve">141340</t>
  </si>
  <si>
    <t xml:space="preserve">Сосиски МЕЖЕНИНОВСКАЯ ПФ Аппетитные в/у 400г</t>
  </si>
  <si>
    <t xml:space="preserve">Шаг</t>
  </si>
  <si>
    <t xml:space="preserve">Пояснение</t>
  </si>
  <si>
    <t xml:space="preserve">Период</t>
  </si>
  <si>
    <t xml:space="preserve">01.01.2023 – 10.08.2026 (все строки файла колбасаНФ.xlsx с ТО&gt;0 и ТО руб&gt;0)</t>
  </si>
  <si>
    <t xml:space="preserve">Источник</t>
  </si>
  <si>
    <t xml:space="preserve">Колонка «Наценка» на строку = валовая прибыль (ТО руб − себестоимость/закупка)</t>
  </si>
  <si>
    <t xml:space="preserve">Показатель</t>
  </si>
  <si>
    <t xml:space="preserve">«Валовая прибыль, руб» = сумма наценки по товару за период; «Наценка, % от выручки» = прибыль / выручка × 100</t>
  </si>
  <si>
    <t xml:space="preserve">Единицы</t>
  </si>
  <si>
    <t xml:space="preserve">весовые товары — кг, штучные — шт (тип по данным: есть дробная продажа → весовой); «≈ кг» = шт × фасовка/1000</t>
  </si>
  <si>
    <t xml:space="preserve">Наценка %</t>
  </si>
  <si>
    <t xml:space="preserve">Убыток (отрицательная наценка) = продажи по акции ниже закупки; такие товары в листе «Где_теряем»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</si>
</sst>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E2" activeCellId="0" sqref="E2"/>
    </sheetView>
  </sheetViews>
  <sheetFormatPr defaultColWidth="8.578125" defaultRowHeight="15" customHeight="false" zeroHeight="false" outlineLevelRow="0" outlineLevelCol="0"/>
  <cols>
    <col collapsed="false" customWidth="true" hidden="false" outlineLevel="0" max="2" min="2" style="0" width="21.61"/>
    <col collapsed="false" customWidth="true" hidden="false" outlineLevel="0" max="4" min="4" style="0" width="50.12"/>
    <col collapsed="false" customWidth="true" hidden="false" outlineLevel="0" max="5" min="5" style="0" width="13.49"/>
    <col collapsed="false" customWidth="true" hidden="false" outlineLevel="0" max="6" min="6" style="0" width="5.67"/>
    <col collapsed="false" customWidth="true" hidden="false" outlineLevel="0" max="9" min="9" style="0" width="10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n">
        <v>318168</v>
      </c>
      <c r="G2" s="0" t="n">
        <v>149539</v>
      </c>
      <c r="H2" s="0" t="n">
        <v>58536425.33</v>
      </c>
      <c r="I2" s="0" t="n">
        <v>12308814.86</v>
      </c>
      <c r="J2" s="0" t="n">
        <v>21</v>
      </c>
      <c r="K2" s="0" t="s">
        <v>15</v>
      </c>
      <c r="M2" s="0" t="n">
        <f aca="false">I2/H2</f>
        <v>0.210276162075304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s">
        <v>17</v>
      </c>
      <c r="D3" s="0" t="s">
        <v>18</v>
      </c>
      <c r="E3" s="0" t="s">
        <v>19</v>
      </c>
      <c r="F3" s="0" t="n">
        <v>40370.5</v>
      </c>
      <c r="G3" s="0" t="n">
        <v>40370.5</v>
      </c>
      <c r="H3" s="0" t="n">
        <v>21283552.94</v>
      </c>
      <c r="I3" s="0" t="n">
        <v>4944308.62</v>
      </c>
      <c r="J3" s="0" t="n">
        <v>23.2</v>
      </c>
      <c r="K3" s="0" t="s">
        <v>15</v>
      </c>
      <c r="L3" s="0" t="n">
        <f aca="false">I2/I3</f>
        <v>2.48949161672679</v>
      </c>
      <c r="M3" s="0" t="n">
        <f aca="false">I3/H3</f>
        <v>0.232306543646091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20</v>
      </c>
      <c r="D4" s="0" t="s">
        <v>21</v>
      </c>
      <c r="E4" s="0" t="s">
        <v>14</v>
      </c>
      <c r="F4" s="0" t="n">
        <v>80771</v>
      </c>
      <c r="G4" s="0" t="n">
        <v>32308.4</v>
      </c>
      <c r="H4" s="0" t="n">
        <v>18080536.96</v>
      </c>
      <c r="I4" s="0" t="n">
        <v>4346362.67</v>
      </c>
      <c r="J4" s="0" t="n">
        <v>24</v>
      </c>
      <c r="K4" s="0" t="s">
        <v>15</v>
      </c>
      <c r="M4" s="0" t="n">
        <f aca="false">I4/H4</f>
        <v>0.240389026034767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22</v>
      </c>
      <c r="D5" s="0" t="s">
        <v>23</v>
      </c>
      <c r="E5" s="0" t="s">
        <v>19</v>
      </c>
      <c r="F5" s="0" t="n">
        <v>43631.8</v>
      </c>
      <c r="G5" s="0" t="n">
        <v>43631.8</v>
      </c>
      <c r="H5" s="0" t="n">
        <v>18099728.31</v>
      </c>
      <c r="I5" s="0" t="n">
        <v>4183692.88</v>
      </c>
      <c r="J5" s="0" t="n">
        <v>23.1</v>
      </c>
      <c r="K5" s="0" t="s">
        <v>15</v>
      </c>
      <c r="M5" s="0" t="n">
        <f aca="false">I5/H5</f>
        <v>0.231146722665916</v>
      </c>
    </row>
    <row r="6" customFormat="false" ht="15" hidden="false" customHeight="false" outlineLevel="0" collapsed="false">
      <c r="A6" s="0" t="n">
        <v>5</v>
      </c>
      <c r="B6" s="0" t="s">
        <v>16</v>
      </c>
      <c r="C6" s="0" t="s">
        <v>24</v>
      </c>
      <c r="D6" s="0" t="s">
        <v>25</v>
      </c>
      <c r="E6" s="0" t="s">
        <v>14</v>
      </c>
      <c r="F6" s="0" t="n">
        <v>93309</v>
      </c>
      <c r="G6" s="0" t="n">
        <v>35457.4</v>
      </c>
      <c r="H6" s="0" t="n">
        <v>19222398.5</v>
      </c>
      <c r="I6" s="0" t="n">
        <v>3902495.38</v>
      </c>
      <c r="J6" s="0" t="n">
        <v>20.3</v>
      </c>
      <c r="K6" s="0" t="s">
        <v>15</v>
      </c>
      <c r="M6" s="0" t="n">
        <f aca="false">I6/H6</f>
        <v>0.203018129085192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s">
        <v>26</v>
      </c>
      <c r="D7" s="0" t="s">
        <v>27</v>
      </c>
      <c r="E7" s="0" t="s">
        <v>14</v>
      </c>
      <c r="F7" s="0" t="n">
        <v>89889</v>
      </c>
      <c r="G7" s="0" t="n">
        <v>24270</v>
      </c>
      <c r="H7" s="0" t="n">
        <v>16891408.67</v>
      </c>
      <c r="I7" s="0" t="n">
        <v>3549441.1</v>
      </c>
      <c r="J7" s="0" t="n">
        <v>21</v>
      </c>
      <c r="K7" s="0" t="s">
        <v>15</v>
      </c>
      <c r="M7" s="0" t="n">
        <f aca="false">I7/H7</f>
        <v>0.210132924337091</v>
      </c>
    </row>
    <row r="8" customFormat="false" ht="15" hidden="false" customHeight="false" outlineLevel="0" collapsed="false">
      <c r="A8" s="0" t="n">
        <v>7</v>
      </c>
      <c r="B8" s="0" t="s">
        <v>28</v>
      </c>
      <c r="C8" s="0" t="s">
        <v>29</v>
      </c>
      <c r="D8" s="0" t="s">
        <v>30</v>
      </c>
      <c r="E8" s="0" t="s">
        <v>14</v>
      </c>
      <c r="F8" s="0" t="n">
        <v>83264</v>
      </c>
      <c r="G8" s="0" t="n">
        <v>39134.1</v>
      </c>
      <c r="H8" s="0" t="n">
        <v>16571997.68</v>
      </c>
      <c r="I8" s="0" t="n">
        <v>3433834.24</v>
      </c>
      <c r="J8" s="0" t="n">
        <v>20.7</v>
      </c>
      <c r="K8" s="0" t="s">
        <v>15</v>
      </c>
      <c r="M8" s="0" t="n">
        <f aca="false">I8/H8</f>
        <v>0.207207019111772</v>
      </c>
    </row>
    <row r="9" customFormat="false" ht="15" hidden="false" customHeight="false" outlineLevel="0" collapsed="false">
      <c r="A9" s="0" t="n">
        <v>8</v>
      </c>
      <c r="B9" s="0" t="s">
        <v>31</v>
      </c>
      <c r="C9" s="0" t="s">
        <v>32</v>
      </c>
      <c r="D9" s="0" t="s">
        <v>33</v>
      </c>
      <c r="E9" s="0" t="s">
        <v>14</v>
      </c>
      <c r="F9" s="0" t="n">
        <v>92990</v>
      </c>
      <c r="G9" s="0" t="n">
        <v>31616.6</v>
      </c>
      <c r="H9" s="0" t="n">
        <v>14205419.91</v>
      </c>
      <c r="I9" s="0" t="n">
        <v>3193449.44</v>
      </c>
      <c r="J9" s="0" t="n">
        <v>22.5</v>
      </c>
      <c r="K9" s="0" t="s">
        <v>15</v>
      </c>
      <c r="M9" s="0" t="n">
        <f aca="false">I9/H9</f>
        <v>0.22480500120605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s">
        <v>34</v>
      </c>
      <c r="D10" s="0" t="s">
        <v>35</v>
      </c>
      <c r="E10" s="0" t="s">
        <v>19</v>
      </c>
      <c r="F10" s="0" t="n">
        <v>20427</v>
      </c>
      <c r="G10" s="0" t="n">
        <v>20427</v>
      </c>
      <c r="H10" s="0" t="n">
        <v>12448128.37</v>
      </c>
      <c r="I10" s="0" t="n">
        <v>3094535.75</v>
      </c>
      <c r="J10" s="0" t="n">
        <v>24.9</v>
      </c>
      <c r="K10" s="0" t="s">
        <v>15</v>
      </c>
      <c r="M10" s="0" t="n">
        <f aca="false">I10/H10</f>
        <v>0.248594459987883</v>
      </c>
    </row>
    <row r="11" customFormat="false" ht="15" hidden="false" customHeight="false" outlineLevel="0" collapsed="false">
      <c r="A11" s="0" t="n">
        <v>10</v>
      </c>
      <c r="B11" s="0" t="s">
        <v>31</v>
      </c>
      <c r="C11" s="0" t="s">
        <v>36</v>
      </c>
      <c r="D11" s="0" t="s">
        <v>37</v>
      </c>
      <c r="E11" s="0" t="s">
        <v>14</v>
      </c>
      <c r="F11" s="0" t="n">
        <v>53188</v>
      </c>
      <c r="G11" s="0" t="n">
        <v>23934.6</v>
      </c>
      <c r="H11" s="0" t="n">
        <v>12259056.28</v>
      </c>
      <c r="I11" s="0" t="n">
        <v>3018093.59</v>
      </c>
      <c r="J11" s="0" t="n">
        <v>24.6</v>
      </c>
      <c r="K11" s="0" t="s">
        <v>15</v>
      </c>
      <c r="M11" s="0" t="n">
        <f aca="false">I11/H11</f>
        <v>0.246192979383238</v>
      </c>
    </row>
    <row r="12" customFormat="false" ht="15" hidden="false" customHeight="false" outlineLevel="0" collapsed="false">
      <c r="A12" s="0" t="n">
        <v>11</v>
      </c>
      <c r="B12" s="0" t="s">
        <v>11</v>
      </c>
      <c r="C12" s="0" t="s">
        <v>38</v>
      </c>
      <c r="D12" s="0" t="s">
        <v>39</v>
      </c>
      <c r="E12" s="0" t="s">
        <v>19</v>
      </c>
      <c r="F12" s="0" t="n">
        <v>13952</v>
      </c>
      <c r="G12" s="0" t="n">
        <v>13952</v>
      </c>
      <c r="H12" s="0" t="n">
        <v>13007477.12</v>
      </c>
      <c r="I12" s="0" t="n">
        <v>3002986.74</v>
      </c>
      <c r="J12" s="0" t="n">
        <v>23.1</v>
      </c>
      <c r="K12" s="0" t="s">
        <v>15</v>
      </c>
      <c r="M12" s="0" t="n">
        <f aca="false">I12/H12</f>
        <v>0.230866194289335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s">
        <v>40</v>
      </c>
      <c r="D13" s="0" t="s">
        <v>41</v>
      </c>
      <c r="E13" s="0" t="s">
        <v>14</v>
      </c>
      <c r="F13" s="0" t="n">
        <v>80187</v>
      </c>
      <c r="G13" s="0" t="n">
        <v>28867.3</v>
      </c>
      <c r="H13" s="0" t="n">
        <v>12206446.22</v>
      </c>
      <c r="I13" s="0" t="n">
        <v>2949899.83</v>
      </c>
      <c r="J13" s="0" t="n">
        <v>24.2</v>
      </c>
      <c r="K13" s="0" t="s">
        <v>15</v>
      </c>
      <c r="M13" s="0" t="n">
        <f aca="false">I13/H13</f>
        <v>0.241667376141522</v>
      </c>
    </row>
    <row r="14" customFormat="false" ht="15" hidden="false" customHeight="false" outlineLevel="0" collapsed="false">
      <c r="A14" s="0" t="n">
        <v>13</v>
      </c>
      <c r="B14" s="0" t="s">
        <v>11</v>
      </c>
      <c r="C14" s="0" t="s">
        <v>42</v>
      </c>
      <c r="D14" s="0" t="s">
        <v>43</v>
      </c>
      <c r="E14" s="0" t="s">
        <v>14</v>
      </c>
      <c r="F14" s="0" t="n">
        <v>76436</v>
      </c>
      <c r="G14" s="0" t="n">
        <v>28663.5</v>
      </c>
      <c r="H14" s="0" t="n">
        <v>12847895.36</v>
      </c>
      <c r="I14" s="0" t="n">
        <v>2932870.44</v>
      </c>
      <c r="J14" s="0" t="n">
        <v>22.8</v>
      </c>
      <c r="K14" s="0" t="s">
        <v>15</v>
      </c>
      <c r="M14" s="0" t="n">
        <f aca="false">I14/H14</f>
        <v>0.228276333035141</v>
      </c>
    </row>
    <row r="15" customFormat="false" ht="15" hidden="false" customHeight="false" outlineLevel="0" collapsed="false">
      <c r="A15" s="0" t="n">
        <v>14</v>
      </c>
      <c r="B15" s="0" t="s">
        <v>11</v>
      </c>
      <c r="C15" s="0" t="s">
        <v>44</v>
      </c>
      <c r="D15" s="0" t="s">
        <v>45</v>
      </c>
      <c r="E15" s="0" t="s">
        <v>14</v>
      </c>
      <c r="F15" s="0" t="n">
        <v>85703</v>
      </c>
      <c r="G15" s="0" t="n">
        <v>29996</v>
      </c>
      <c r="H15" s="0" t="n">
        <v>14929450.92</v>
      </c>
      <c r="I15" s="0" t="n">
        <v>2864993.38</v>
      </c>
      <c r="J15" s="0" t="n">
        <v>19.2</v>
      </c>
      <c r="K15" s="0" t="s">
        <v>15</v>
      </c>
      <c r="M15" s="0" t="n">
        <f aca="false">I15/H15</f>
        <v>0.191902126565282</v>
      </c>
    </row>
    <row r="16" customFormat="false" ht="15" hidden="false" customHeight="false" outlineLevel="0" collapsed="false">
      <c r="A16" s="0" t="n">
        <v>15</v>
      </c>
      <c r="B16" s="0" t="s">
        <v>46</v>
      </c>
      <c r="C16" s="0" t="s">
        <v>47</v>
      </c>
      <c r="D16" s="0" t="s">
        <v>48</v>
      </c>
      <c r="E16" s="0" t="s">
        <v>14</v>
      </c>
      <c r="F16" s="0" t="n">
        <v>46870</v>
      </c>
      <c r="G16" s="0" t="n">
        <v>8436.6</v>
      </c>
      <c r="H16" s="0" t="n">
        <v>12085852.83</v>
      </c>
      <c r="I16" s="0" t="n">
        <v>2844044.47</v>
      </c>
      <c r="J16" s="0" t="n">
        <v>23.5</v>
      </c>
      <c r="K16" s="0" t="s">
        <v>15</v>
      </c>
      <c r="M16" s="0" t="n">
        <f aca="false">I16/H16</f>
        <v>0.235320130900518</v>
      </c>
    </row>
    <row r="17" customFormat="false" ht="15" hidden="false" customHeight="false" outlineLevel="0" collapsed="false">
      <c r="A17" s="0" t="n">
        <v>16</v>
      </c>
      <c r="B17" s="0" t="s">
        <v>16</v>
      </c>
      <c r="C17" s="0" t="s">
        <v>49</v>
      </c>
      <c r="D17" s="0" t="s">
        <v>50</v>
      </c>
      <c r="E17" s="0" t="s">
        <v>14</v>
      </c>
      <c r="F17" s="0" t="n">
        <v>45984</v>
      </c>
      <c r="G17" s="0" t="n">
        <v>17244</v>
      </c>
      <c r="H17" s="0" t="n">
        <v>11948224.71</v>
      </c>
      <c r="I17" s="0" t="n">
        <v>2677439.93</v>
      </c>
      <c r="J17" s="0" t="n">
        <v>22.4</v>
      </c>
      <c r="K17" s="0" t="s">
        <v>15</v>
      </c>
      <c r="M17" s="0" t="n">
        <f aca="false">I17/H17</f>
        <v>0.2240868409312</v>
      </c>
    </row>
    <row r="18" customFormat="false" ht="15" hidden="false" customHeight="false" outlineLevel="0" collapsed="false">
      <c r="A18" s="0" t="n">
        <v>17</v>
      </c>
      <c r="B18" s="0" t="s">
        <v>11</v>
      </c>
      <c r="C18" s="0" t="s">
        <v>51</v>
      </c>
      <c r="D18" s="0" t="s">
        <v>52</v>
      </c>
      <c r="E18" s="0" t="s">
        <v>14</v>
      </c>
      <c r="F18" s="0" t="n">
        <v>63572</v>
      </c>
      <c r="G18" s="0" t="n">
        <v>22250.2</v>
      </c>
      <c r="H18" s="0" t="n">
        <v>10220754.77</v>
      </c>
      <c r="I18" s="0" t="n">
        <v>2662085.18</v>
      </c>
      <c r="J18" s="0" t="n">
        <v>26</v>
      </c>
      <c r="K18" s="0" t="s">
        <v>15</v>
      </c>
      <c r="M18" s="0" t="n">
        <f aca="false">I18/H18</f>
        <v>0.260458766490882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s">
        <v>53</v>
      </c>
      <c r="D19" s="0" t="s">
        <v>54</v>
      </c>
      <c r="E19" s="0" t="s">
        <v>14</v>
      </c>
      <c r="F19" s="0" t="n">
        <v>46577</v>
      </c>
      <c r="G19" s="0" t="n">
        <v>20959.6</v>
      </c>
      <c r="H19" s="0" t="n">
        <v>10238127.66</v>
      </c>
      <c r="I19" s="0" t="n">
        <v>2494042.72</v>
      </c>
      <c r="J19" s="0" t="n">
        <v>24.4</v>
      </c>
      <c r="K19" s="0" t="s">
        <v>15</v>
      </c>
      <c r="M19" s="0" t="n">
        <f aca="false">I19/H19</f>
        <v>0.243603401210178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s">
        <v>55</v>
      </c>
      <c r="D20" s="0" t="s">
        <v>56</v>
      </c>
      <c r="E20" s="0" t="s">
        <v>14</v>
      </c>
      <c r="F20" s="0" t="n">
        <v>97462</v>
      </c>
      <c r="G20" s="0" t="n">
        <v>38984.8</v>
      </c>
      <c r="H20" s="0" t="n">
        <v>11680080.95</v>
      </c>
      <c r="I20" s="0" t="n">
        <v>2468500.39</v>
      </c>
      <c r="J20" s="0" t="n">
        <v>21.1</v>
      </c>
      <c r="K20" s="0" t="s">
        <v>15</v>
      </c>
      <c r="M20" s="0" t="n">
        <f aca="false">I20/H20</f>
        <v>0.21134274672985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s">
        <v>57</v>
      </c>
      <c r="D21" s="0" t="s">
        <v>58</v>
      </c>
      <c r="E21" s="0" t="s">
        <v>19</v>
      </c>
      <c r="F21" s="0" t="n">
        <v>25966</v>
      </c>
      <c r="G21" s="0" t="n">
        <v>25966</v>
      </c>
      <c r="H21" s="0" t="n">
        <v>10085463.98</v>
      </c>
      <c r="I21" s="0" t="n">
        <v>2395430.19</v>
      </c>
      <c r="J21" s="0" t="n">
        <v>23.8</v>
      </c>
      <c r="K21" s="0" t="s">
        <v>15</v>
      </c>
      <c r="M21" s="0" t="n">
        <f aca="false">I21/H21</f>
        <v>0.237513137199266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59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14</v>
      </c>
      <c r="E2" s="0" t="n">
        <v>83264</v>
      </c>
      <c r="F2" s="0" t="n">
        <v>39134.1</v>
      </c>
      <c r="G2" s="0" t="n">
        <v>16571997.68</v>
      </c>
      <c r="H2" s="0" t="n">
        <v>3433834.24</v>
      </c>
      <c r="I2" s="0" t="n">
        <v>20.7</v>
      </c>
      <c r="J2" s="0" t="s">
        <v>15</v>
      </c>
      <c r="K2" s="0" t="n">
        <v>1</v>
      </c>
    </row>
    <row r="3" customFormat="false" ht="15" hidden="false" customHeight="false" outlineLevel="0" collapsed="false">
      <c r="A3" s="0" t="s">
        <v>28</v>
      </c>
      <c r="B3" s="0" t="s">
        <v>60</v>
      </c>
      <c r="C3" s="0" t="s">
        <v>61</v>
      </c>
      <c r="D3" s="0" t="s">
        <v>14</v>
      </c>
      <c r="E3" s="0" t="n">
        <v>40507</v>
      </c>
      <c r="F3" s="0" t="n">
        <v>20253.5</v>
      </c>
      <c r="G3" s="0" t="n">
        <v>7514087.6</v>
      </c>
      <c r="H3" s="0" t="n">
        <v>1580883.21</v>
      </c>
      <c r="I3" s="0" t="n">
        <v>21</v>
      </c>
      <c r="J3" s="0" t="s">
        <v>15</v>
      </c>
      <c r="K3" s="0" t="n">
        <v>2</v>
      </c>
    </row>
    <row r="4" customFormat="false" ht="15" hidden="false" customHeight="false" outlineLevel="0" collapsed="false">
      <c r="A4" s="0" t="s">
        <v>28</v>
      </c>
      <c r="B4" s="0" t="s">
        <v>62</v>
      </c>
      <c r="C4" s="0" t="s">
        <v>63</v>
      </c>
      <c r="D4" s="0" t="s">
        <v>14</v>
      </c>
      <c r="E4" s="0" t="n">
        <v>32705</v>
      </c>
      <c r="F4" s="0" t="n">
        <v>11446.8</v>
      </c>
      <c r="G4" s="0" t="n">
        <v>6294925.34</v>
      </c>
      <c r="H4" s="0" t="n">
        <v>1573382.56</v>
      </c>
      <c r="I4" s="0" t="n">
        <v>25</v>
      </c>
      <c r="J4" s="0" t="s">
        <v>15</v>
      </c>
      <c r="K4" s="0" t="n">
        <v>3</v>
      </c>
    </row>
    <row r="5" customFormat="false" ht="15" hidden="false" customHeight="false" outlineLevel="0" collapsed="false">
      <c r="A5" s="0" t="s">
        <v>28</v>
      </c>
      <c r="B5" s="0" t="s">
        <v>64</v>
      </c>
      <c r="C5" s="0" t="s">
        <v>65</v>
      </c>
      <c r="D5" s="0" t="s">
        <v>14</v>
      </c>
      <c r="E5" s="0" t="n">
        <v>24057</v>
      </c>
      <c r="F5" s="0" t="n">
        <v>9622.8</v>
      </c>
      <c r="G5" s="0" t="n">
        <v>3916643.63</v>
      </c>
      <c r="H5" s="0" t="n">
        <v>911227.83</v>
      </c>
      <c r="I5" s="0" t="n">
        <v>23.3</v>
      </c>
      <c r="J5" s="0" t="s">
        <v>15</v>
      </c>
      <c r="K5" s="0" t="n">
        <v>4</v>
      </c>
    </row>
    <row r="6" customFormat="false" ht="15" hidden="false" customHeight="false" outlineLevel="0" collapsed="false">
      <c r="A6" s="0" t="s">
        <v>28</v>
      </c>
      <c r="B6" s="0" t="s">
        <v>66</v>
      </c>
      <c r="C6" s="0" t="s">
        <v>67</v>
      </c>
      <c r="D6" s="0" t="s">
        <v>14</v>
      </c>
      <c r="E6" s="0" t="n">
        <v>23731</v>
      </c>
      <c r="F6" s="0" t="n">
        <v>9492.4</v>
      </c>
      <c r="G6" s="0" t="n">
        <v>4046790.41</v>
      </c>
      <c r="H6" s="0" t="n">
        <v>872878.89</v>
      </c>
      <c r="I6" s="0" t="n">
        <v>21.6</v>
      </c>
      <c r="J6" s="0" t="s">
        <v>15</v>
      </c>
      <c r="K6" s="0" t="n">
        <v>5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s">
        <v>13</v>
      </c>
      <c r="D7" s="0" t="s">
        <v>14</v>
      </c>
      <c r="E7" s="0" t="n">
        <v>318168</v>
      </c>
      <c r="F7" s="0" t="n">
        <v>149539</v>
      </c>
      <c r="G7" s="0" t="n">
        <v>58536425.33</v>
      </c>
      <c r="H7" s="0" t="n">
        <v>12308814.86</v>
      </c>
      <c r="I7" s="0" t="n">
        <v>21</v>
      </c>
      <c r="J7" s="0" t="s">
        <v>15</v>
      </c>
      <c r="K7" s="0" t="n">
        <v>1</v>
      </c>
    </row>
    <row r="8" customFormat="false" ht="15" hidden="false" customHeight="false" outlineLevel="0" collapsed="false">
      <c r="A8" s="0" t="s">
        <v>11</v>
      </c>
      <c r="B8" s="0" t="s">
        <v>20</v>
      </c>
      <c r="C8" s="0" t="s">
        <v>21</v>
      </c>
      <c r="D8" s="0" t="s">
        <v>14</v>
      </c>
      <c r="E8" s="0" t="n">
        <v>80771</v>
      </c>
      <c r="F8" s="0" t="n">
        <v>32308.4</v>
      </c>
      <c r="G8" s="0" t="n">
        <v>18080536.96</v>
      </c>
      <c r="H8" s="0" t="n">
        <v>4346362.67</v>
      </c>
      <c r="I8" s="0" t="n">
        <v>24</v>
      </c>
      <c r="J8" s="0" t="s">
        <v>15</v>
      </c>
      <c r="K8" s="0" t="n">
        <v>2</v>
      </c>
    </row>
    <row r="9" customFormat="false" ht="15" hidden="false" customHeight="false" outlineLevel="0" collapsed="false">
      <c r="A9" s="0" t="s">
        <v>11</v>
      </c>
      <c r="B9" s="0" t="s">
        <v>22</v>
      </c>
      <c r="C9" s="0" t="s">
        <v>23</v>
      </c>
      <c r="D9" s="0" t="s">
        <v>19</v>
      </c>
      <c r="E9" s="0" t="n">
        <v>43631.8</v>
      </c>
      <c r="F9" s="0" t="n">
        <v>43631.8</v>
      </c>
      <c r="G9" s="0" t="n">
        <v>18099728.31</v>
      </c>
      <c r="H9" s="0" t="n">
        <v>4183692.88</v>
      </c>
      <c r="I9" s="0" t="n">
        <v>23.1</v>
      </c>
      <c r="J9" s="0" t="s">
        <v>15</v>
      </c>
      <c r="K9" s="0" t="n">
        <v>3</v>
      </c>
    </row>
    <row r="10" customFormat="false" ht="15" hidden="false" customHeight="false" outlineLevel="0" collapsed="false">
      <c r="A10" s="0" t="s">
        <v>11</v>
      </c>
      <c r="B10" s="0" t="s">
        <v>34</v>
      </c>
      <c r="C10" s="0" t="s">
        <v>35</v>
      </c>
      <c r="D10" s="0" t="s">
        <v>19</v>
      </c>
      <c r="E10" s="0" t="n">
        <v>20427</v>
      </c>
      <c r="F10" s="0" t="n">
        <v>20427</v>
      </c>
      <c r="G10" s="0" t="n">
        <v>12448128.37</v>
      </c>
      <c r="H10" s="0" t="n">
        <v>3094535.75</v>
      </c>
      <c r="I10" s="0" t="n">
        <v>24.9</v>
      </c>
      <c r="J10" s="0" t="s">
        <v>15</v>
      </c>
      <c r="K10" s="0" t="n">
        <v>4</v>
      </c>
    </row>
    <row r="11" customFormat="false" ht="15" hidden="false" customHeight="false" outlineLevel="0" collapsed="false">
      <c r="A11" s="0" t="s">
        <v>11</v>
      </c>
      <c r="B11" s="0" t="s">
        <v>38</v>
      </c>
      <c r="C11" s="0" t="s">
        <v>39</v>
      </c>
      <c r="D11" s="0" t="s">
        <v>19</v>
      </c>
      <c r="E11" s="0" t="n">
        <v>13952</v>
      </c>
      <c r="F11" s="0" t="n">
        <v>13952</v>
      </c>
      <c r="G11" s="0" t="n">
        <v>13007477.12</v>
      </c>
      <c r="H11" s="0" t="n">
        <v>3002986.74</v>
      </c>
      <c r="I11" s="0" t="n">
        <v>23.1</v>
      </c>
      <c r="J11" s="0" t="s">
        <v>15</v>
      </c>
      <c r="K11" s="0" t="n">
        <v>5</v>
      </c>
    </row>
    <row r="12" customFormat="false" ht="15" hidden="false" customHeight="false" outlineLevel="0" collapsed="false">
      <c r="A12" s="0" t="s">
        <v>16</v>
      </c>
      <c r="B12" s="0" t="s">
        <v>17</v>
      </c>
      <c r="C12" s="0" t="s">
        <v>18</v>
      </c>
      <c r="D12" s="0" t="s">
        <v>19</v>
      </c>
      <c r="E12" s="0" t="n">
        <v>40370.5</v>
      </c>
      <c r="F12" s="0" t="n">
        <v>40370.5</v>
      </c>
      <c r="G12" s="0" t="n">
        <v>21283552.94</v>
      </c>
      <c r="H12" s="0" t="n">
        <v>4944308.62</v>
      </c>
      <c r="I12" s="0" t="n">
        <v>23.2</v>
      </c>
      <c r="J12" s="0" t="s">
        <v>15</v>
      </c>
      <c r="K12" s="0" t="n">
        <v>1</v>
      </c>
    </row>
    <row r="13" customFormat="false" ht="15" hidden="false" customHeight="false" outlineLevel="0" collapsed="false">
      <c r="A13" s="0" t="s">
        <v>16</v>
      </c>
      <c r="B13" s="0" t="s">
        <v>24</v>
      </c>
      <c r="C13" s="0" t="s">
        <v>25</v>
      </c>
      <c r="D13" s="0" t="s">
        <v>14</v>
      </c>
      <c r="E13" s="0" t="n">
        <v>93309</v>
      </c>
      <c r="F13" s="0" t="n">
        <v>35457.4</v>
      </c>
      <c r="G13" s="0" t="n">
        <v>19222398.5</v>
      </c>
      <c r="H13" s="0" t="n">
        <v>3902495.38</v>
      </c>
      <c r="I13" s="0" t="n">
        <v>20.3</v>
      </c>
      <c r="J13" s="0" t="s">
        <v>15</v>
      </c>
      <c r="K13" s="0" t="n">
        <v>2</v>
      </c>
    </row>
    <row r="14" customFormat="false" ht="15" hidden="false" customHeight="false" outlineLevel="0" collapsed="false">
      <c r="A14" s="0" t="s">
        <v>16</v>
      </c>
      <c r="B14" s="0" t="s">
        <v>26</v>
      </c>
      <c r="C14" s="0" t="s">
        <v>27</v>
      </c>
      <c r="D14" s="0" t="s">
        <v>14</v>
      </c>
      <c r="E14" s="0" t="n">
        <v>89889</v>
      </c>
      <c r="F14" s="0" t="n">
        <v>24270</v>
      </c>
      <c r="G14" s="0" t="n">
        <v>16891408.67</v>
      </c>
      <c r="H14" s="0" t="n">
        <v>3549441.1</v>
      </c>
      <c r="I14" s="0" t="n">
        <v>21</v>
      </c>
      <c r="J14" s="0" t="s">
        <v>15</v>
      </c>
      <c r="K14" s="0" t="n">
        <v>3</v>
      </c>
    </row>
    <row r="15" customFormat="false" ht="15" hidden="false" customHeight="false" outlineLevel="0" collapsed="false">
      <c r="A15" s="0" t="s">
        <v>16</v>
      </c>
      <c r="B15" s="0" t="s">
        <v>49</v>
      </c>
      <c r="C15" s="0" t="s">
        <v>50</v>
      </c>
      <c r="D15" s="0" t="s">
        <v>14</v>
      </c>
      <c r="E15" s="0" t="n">
        <v>45984</v>
      </c>
      <c r="F15" s="0" t="n">
        <v>17244</v>
      </c>
      <c r="G15" s="0" t="n">
        <v>11948224.71</v>
      </c>
      <c r="H15" s="0" t="n">
        <v>2677439.93</v>
      </c>
      <c r="I15" s="0" t="n">
        <v>22.4</v>
      </c>
      <c r="J15" s="0" t="s">
        <v>15</v>
      </c>
      <c r="K15" s="0" t="n">
        <v>4</v>
      </c>
    </row>
    <row r="16" customFormat="false" ht="15" hidden="false" customHeight="false" outlineLevel="0" collapsed="false">
      <c r="A16" s="0" t="s">
        <v>16</v>
      </c>
      <c r="B16" s="0" t="s">
        <v>68</v>
      </c>
      <c r="C16" s="0" t="s">
        <v>69</v>
      </c>
      <c r="D16" s="0" t="s">
        <v>19</v>
      </c>
      <c r="E16" s="0" t="n">
        <v>23130.6</v>
      </c>
      <c r="F16" s="0" t="n">
        <v>23130.6</v>
      </c>
      <c r="G16" s="0" t="n">
        <v>8741073.14</v>
      </c>
      <c r="H16" s="0" t="n">
        <v>2061513.79</v>
      </c>
      <c r="I16" s="0" t="n">
        <v>23.6</v>
      </c>
      <c r="J16" s="0" t="s">
        <v>15</v>
      </c>
      <c r="K16" s="0" t="n">
        <v>5</v>
      </c>
    </row>
    <row r="17" customFormat="false" ht="15" hidden="false" customHeight="false" outlineLevel="0" collapsed="false">
      <c r="A17" s="0" t="s">
        <v>70</v>
      </c>
      <c r="B17" s="0" t="s">
        <v>71</v>
      </c>
      <c r="C17" s="0" t="s">
        <v>72</v>
      </c>
      <c r="D17" s="0" t="s">
        <v>14</v>
      </c>
      <c r="E17" s="0" t="n">
        <v>25445</v>
      </c>
      <c r="F17" s="0" t="n">
        <v>9669.1</v>
      </c>
      <c r="G17" s="0" t="n">
        <v>7519737</v>
      </c>
      <c r="H17" s="0" t="n">
        <v>1821778.77</v>
      </c>
      <c r="I17" s="0" t="n">
        <v>24.2</v>
      </c>
      <c r="J17" s="0" t="s">
        <v>15</v>
      </c>
      <c r="K17" s="0" t="n">
        <v>1</v>
      </c>
    </row>
    <row r="18" customFormat="false" ht="15" hidden="false" customHeight="false" outlineLevel="0" collapsed="false">
      <c r="A18" s="0" t="s">
        <v>70</v>
      </c>
      <c r="B18" s="0" t="s">
        <v>73</v>
      </c>
      <c r="C18" s="0" t="s">
        <v>74</v>
      </c>
      <c r="D18" s="0" t="s">
        <v>14</v>
      </c>
      <c r="E18" s="0" t="n">
        <v>23916</v>
      </c>
      <c r="F18" s="0" t="n">
        <v>9566.4</v>
      </c>
      <c r="G18" s="0" t="n">
        <v>6949986.38</v>
      </c>
      <c r="H18" s="0" t="n">
        <v>1676914.88</v>
      </c>
      <c r="I18" s="0" t="n">
        <v>24.1</v>
      </c>
      <c r="J18" s="0" t="s">
        <v>15</v>
      </c>
      <c r="K18" s="0" t="n">
        <v>2</v>
      </c>
    </row>
    <row r="19" customFormat="false" ht="15" hidden="false" customHeight="false" outlineLevel="0" collapsed="false">
      <c r="A19" s="0" t="s">
        <v>70</v>
      </c>
      <c r="B19" s="0" t="s">
        <v>75</v>
      </c>
      <c r="C19" s="0" t="s">
        <v>76</v>
      </c>
      <c r="D19" s="0" t="s">
        <v>14</v>
      </c>
      <c r="E19" s="0" t="n">
        <v>24728</v>
      </c>
      <c r="F19" s="0" t="n">
        <v>9643.9</v>
      </c>
      <c r="G19" s="0" t="n">
        <v>6619737.26</v>
      </c>
      <c r="H19" s="0" t="n">
        <v>1628910.37</v>
      </c>
      <c r="I19" s="0" t="n">
        <v>24.6</v>
      </c>
      <c r="J19" s="0" t="s">
        <v>15</v>
      </c>
      <c r="K19" s="0" t="n">
        <v>3</v>
      </c>
    </row>
    <row r="20" customFormat="false" ht="15" hidden="false" customHeight="false" outlineLevel="0" collapsed="false">
      <c r="A20" s="0" t="s">
        <v>70</v>
      </c>
      <c r="B20" s="0" t="s">
        <v>77</v>
      </c>
      <c r="C20" s="0" t="s">
        <v>78</v>
      </c>
      <c r="D20" s="0" t="s">
        <v>14</v>
      </c>
      <c r="E20" s="0" t="n">
        <v>32555</v>
      </c>
      <c r="F20" s="0" t="n">
        <v>7813.2</v>
      </c>
      <c r="G20" s="0" t="n">
        <v>6376767.59</v>
      </c>
      <c r="H20" s="0" t="n">
        <v>1573148.73</v>
      </c>
      <c r="I20" s="0" t="n">
        <v>24.7</v>
      </c>
      <c r="J20" s="0" t="s">
        <v>15</v>
      </c>
      <c r="K20" s="0" t="n">
        <v>4</v>
      </c>
    </row>
    <row r="21" customFormat="false" ht="15" hidden="false" customHeight="false" outlineLevel="0" collapsed="false">
      <c r="A21" s="0" t="s">
        <v>70</v>
      </c>
      <c r="B21" s="0" t="s">
        <v>79</v>
      </c>
      <c r="C21" s="0" t="s">
        <v>80</v>
      </c>
      <c r="D21" s="0" t="s">
        <v>14</v>
      </c>
      <c r="E21" s="0" t="n">
        <v>43119</v>
      </c>
      <c r="F21" s="0" t="n">
        <v>10779.8</v>
      </c>
      <c r="G21" s="0" t="n">
        <v>5486314.85</v>
      </c>
      <c r="H21" s="0" t="n">
        <v>1316248.67</v>
      </c>
      <c r="I21" s="0" t="n">
        <v>24</v>
      </c>
      <c r="J21" s="0" t="s">
        <v>15</v>
      </c>
      <c r="K21" s="0" t="n">
        <v>5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48</v>
      </c>
      <c r="D22" s="0" t="s">
        <v>14</v>
      </c>
      <c r="E22" s="0" t="n">
        <v>46870</v>
      </c>
      <c r="F22" s="0" t="n">
        <v>8436.6</v>
      </c>
      <c r="G22" s="0" t="n">
        <v>12085852.83</v>
      </c>
      <c r="H22" s="0" t="n">
        <v>2844044.47</v>
      </c>
      <c r="I22" s="0" t="n">
        <v>23.5</v>
      </c>
      <c r="J22" s="0" t="s">
        <v>15</v>
      </c>
      <c r="K22" s="0" t="n">
        <v>1</v>
      </c>
    </row>
    <row r="23" customFormat="false" ht="15" hidden="false" customHeight="false" outlineLevel="0" collapsed="false">
      <c r="A23" s="0" t="s">
        <v>46</v>
      </c>
      <c r="B23" s="0" t="s">
        <v>81</v>
      </c>
      <c r="C23" s="0" t="s">
        <v>82</v>
      </c>
      <c r="D23" s="0" t="s">
        <v>14</v>
      </c>
      <c r="E23" s="0" t="n">
        <v>58452</v>
      </c>
      <c r="F23" s="0" t="n">
        <v>13736.2</v>
      </c>
      <c r="G23" s="0" t="n">
        <v>9713097.78</v>
      </c>
      <c r="H23" s="0" t="n">
        <v>2369545.87</v>
      </c>
      <c r="I23" s="0" t="n">
        <v>24.4</v>
      </c>
      <c r="J23" s="0" t="s">
        <v>15</v>
      </c>
      <c r="K23" s="0" t="n">
        <v>2</v>
      </c>
    </row>
    <row r="24" customFormat="false" ht="15" hidden="false" customHeight="false" outlineLevel="0" collapsed="false">
      <c r="A24" s="0" t="s">
        <v>46</v>
      </c>
      <c r="B24" s="0" t="s">
        <v>83</v>
      </c>
      <c r="C24" s="0" t="s">
        <v>84</v>
      </c>
      <c r="D24" s="0" t="s">
        <v>14</v>
      </c>
      <c r="E24" s="0" t="n">
        <v>43482</v>
      </c>
      <c r="F24" s="0" t="n">
        <v>10218.3</v>
      </c>
      <c r="G24" s="0" t="n">
        <v>9812727.7</v>
      </c>
      <c r="H24" s="0" t="n">
        <v>2246550.99</v>
      </c>
      <c r="I24" s="0" t="n">
        <v>22.9</v>
      </c>
      <c r="J24" s="0" t="s">
        <v>15</v>
      </c>
      <c r="K24" s="0" t="n">
        <v>3</v>
      </c>
    </row>
    <row r="25" customFormat="false" ht="15" hidden="false" customHeight="false" outlineLevel="0" collapsed="false">
      <c r="A25" s="0" t="s">
        <v>46</v>
      </c>
      <c r="B25" s="0" t="s">
        <v>85</v>
      </c>
      <c r="C25" s="0" t="s">
        <v>86</v>
      </c>
      <c r="D25" s="0" t="s">
        <v>14</v>
      </c>
      <c r="E25" s="0" t="n">
        <v>68898</v>
      </c>
      <c r="F25" s="0" t="n">
        <v>17224.5</v>
      </c>
      <c r="G25" s="0" t="n">
        <v>8892039.29</v>
      </c>
      <c r="H25" s="0" t="n">
        <v>2007570.37</v>
      </c>
      <c r="I25" s="0" t="n">
        <v>22.6</v>
      </c>
      <c r="J25" s="0" t="s">
        <v>15</v>
      </c>
      <c r="K25" s="0" t="n">
        <v>4</v>
      </c>
    </row>
    <row r="26" customFormat="false" ht="15" hidden="false" customHeight="false" outlineLevel="0" collapsed="false">
      <c r="A26" s="0" t="s">
        <v>46</v>
      </c>
      <c r="B26" s="0" t="s">
        <v>87</v>
      </c>
      <c r="C26" s="0" t="s">
        <v>88</v>
      </c>
      <c r="D26" s="0" t="s">
        <v>14</v>
      </c>
      <c r="E26" s="0" t="n">
        <v>66629</v>
      </c>
      <c r="F26" s="0" t="n">
        <v>16657.2</v>
      </c>
      <c r="G26" s="0" t="n">
        <v>8548175.94</v>
      </c>
      <c r="H26" s="0" t="n">
        <v>1970602.5</v>
      </c>
      <c r="I26" s="0" t="n">
        <v>23.1</v>
      </c>
      <c r="J26" s="0" t="s">
        <v>15</v>
      </c>
      <c r="K26" s="0" t="n">
        <v>5</v>
      </c>
    </row>
    <row r="27" customFormat="false" ht="15" hidden="false" customHeight="false" outlineLevel="0" collapsed="false">
      <c r="A27" s="0" t="s">
        <v>89</v>
      </c>
      <c r="B27" s="0" t="s">
        <v>90</v>
      </c>
      <c r="C27" s="0" t="s">
        <v>91</v>
      </c>
      <c r="D27" s="0" t="s">
        <v>14</v>
      </c>
      <c r="E27" s="0" t="n">
        <v>71515</v>
      </c>
      <c r="F27" s="0" t="n">
        <v>28606</v>
      </c>
      <c r="G27" s="0" t="n">
        <v>8997518.93</v>
      </c>
      <c r="H27" s="0" t="n">
        <v>1486834.2</v>
      </c>
      <c r="I27" s="0" t="n">
        <v>16.5</v>
      </c>
      <c r="J27" s="0" t="s">
        <v>15</v>
      </c>
      <c r="K27" s="0" t="n">
        <v>1</v>
      </c>
    </row>
    <row r="28" customFormat="false" ht="15" hidden="false" customHeight="false" outlineLevel="0" collapsed="false">
      <c r="A28" s="0" t="s">
        <v>89</v>
      </c>
      <c r="B28" s="0" t="s">
        <v>92</v>
      </c>
      <c r="C28" s="0" t="s">
        <v>93</v>
      </c>
      <c r="D28" s="0" t="s">
        <v>19</v>
      </c>
      <c r="E28" s="0" t="n">
        <v>6687.8</v>
      </c>
      <c r="F28" s="0" t="n">
        <v>6687.8</v>
      </c>
      <c r="G28" s="0" t="n">
        <v>6315042.14</v>
      </c>
      <c r="H28" s="0" t="n">
        <v>1347914.97</v>
      </c>
      <c r="I28" s="0" t="n">
        <v>21.3</v>
      </c>
      <c r="J28" s="0" t="s">
        <v>15</v>
      </c>
      <c r="K28" s="0" t="n">
        <v>2</v>
      </c>
    </row>
    <row r="29" customFormat="false" ht="15" hidden="false" customHeight="false" outlineLevel="0" collapsed="false">
      <c r="A29" s="0" t="s">
        <v>89</v>
      </c>
      <c r="B29" s="0" t="s">
        <v>94</v>
      </c>
      <c r="C29" s="0" t="s">
        <v>95</v>
      </c>
      <c r="D29" s="0" t="s">
        <v>14</v>
      </c>
      <c r="E29" s="0" t="n">
        <v>45087</v>
      </c>
      <c r="F29" s="0" t="n">
        <v>18034.8</v>
      </c>
      <c r="G29" s="0" t="n">
        <v>6287728.74</v>
      </c>
      <c r="H29" s="0" t="n">
        <v>1090657.77</v>
      </c>
      <c r="I29" s="0" t="n">
        <v>17.3</v>
      </c>
      <c r="J29" s="0" t="s">
        <v>15</v>
      </c>
      <c r="K29" s="0" t="n">
        <v>3</v>
      </c>
    </row>
    <row r="30" customFormat="false" ht="15" hidden="false" customHeight="false" outlineLevel="0" collapsed="false">
      <c r="A30" s="0" t="s">
        <v>89</v>
      </c>
      <c r="B30" s="0" t="s">
        <v>96</v>
      </c>
      <c r="C30" s="0" t="s">
        <v>97</v>
      </c>
      <c r="D30" s="0" t="s">
        <v>19</v>
      </c>
      <c r="E30" s="0" t="n">
        <v>14374.2</v>
      </c>
      <c r="F30" s="0" t="n">
        <v>14374.2</v>
      </c>
      <c r="G30" s="0" t="n">
        <v>4647684.32</v>
      </c>
      <c r="H30" s="0" t="n">
        <v>1054694.14</v>
      </c>
      <c r="I30" s="0" t="n">
        <v>22.7</v>
      </c>
      <c r="J30" s="0" t="s">
        <v>15</v>
      </c>
      <c r="K30" s="0" t="n">
        <v>4</v>
      </c>
    </row>
    <row r="31" customFormat="false" ht="15" hidden="false" customHeight="false" outlineLevel="0" collapsed="false">
      <c r="A31" s="0" t="s">
        <v>89</v>
      </c>
      <c r="B31" s="0" t="s">
        <v>98</v>
      </c>
      <c r="C31" s="0" t="s">
        <v>99</v>
      </c>
      <c r="D31" s="0" t="s">
        <v>19</v>
      </c>
      <c r="E31" s="0" t="n">
        <v>16269.2</v>
      </c>
      <c r="F31" s="0" t="n">
        <v>16269.2</v>
      </c>
      <c r="G31" s="0" t="n">
        <v>4355472.84</v>
      </c>
      <c r="H31" s="0" t="n">
        <v>975931.84</v>
      </c>
      <c r="I31" s="0" t="n">
        <v>22.4</v>
      </c>
      <c r="J31" s="0" t="s">
        <v>15</v>
      </c>
      <c r="K31" s="0" t="n">
        <v>5</v>
      </c>
    </row>
    <row r="32" customFormat="false" ht="15" hidden="false" customHeight="false" outlineLevel="0" collapsed="false">
      <c r="A32" s="0" t="s">
        <v>31</v>
      </c>
      <c r="B32" s="0" t="s">
        <v>32</v>
      </c>
      <c r="C32" s="0" t="s">
        <v>33</v>
      </c>
      <c r="D32" s="0" t="s">
        <v>14</v>
      </c>
      <c r="E32" s="0" t="n">
        <v>92990</v>
      </c>
      <c r="F32" s="0" t="n">
        <v>31616.6</v>
      </c>
      <c r="G32" s="0" t="n">
        <v>14205419.91</v>
      </c>
      <c r="H32" s="0" t="n">
        <v>3193449.44</v>
      </c>
      <c r="I32" s="0" t="n">
        <v>22.5</v>
      </c>
      <c r="J32" s="0" t="s">
        <v>15</v>
      </c>
      <c r="K32" s="0" t="n">
        <v>1</v>
      </c>
    </row>
    <row r="33" customFormat="false" ht="15" hidden="false" customHeight="false" outlineLevel="0" collapsed="false">
      <c r="A33" s="0" t="s">
        <v>31</v>
      </c>
      <c r="B33" s="0" t="s">
        <v>36</v>
      </c>
      <c r="C33" s="0" t="s">
        <v>37</v>
      </c>
      <c r="D33" s="0" t="s">
        <v>14</v>
      </c>
      <c r="E33" s="0" t="n">
        <v>53188</v>
      </c>
      <c r="F33" s="0" t="n">
        <v>23934.6</v>
      </c>
      <c r="G33" s="0" t="n">
        <v>12259056.28</v>
      </c>
      <c r="H33" s="0" t="n">
        <v>3018093.59</v>
      </c>
      <c r="I33" s="0" t="n">
        <v>24.6</v>
      </c>
      <c r="J33" s="0" t="s">
        <v>15</v>
      </c>
      <c r="K33" s="0" t="n">
        <v>2</v>
      </c>
    </row>
    <row r="34" customFormat="false" ht="15" hidden="false" customHeight="false" outlineLevel="0" collapsed="false">
      <c r="A34" s="0" t="s">
        <v>31</v>
      </c>
      <c r="B34" s="0" t="s">
        <v>40</v>
      </c>
      <c r="C34" s="0" t="s">
        <v>41</v>
      </c>
      <c r="D34" s="0" t="s">
        <v>14</v>
      </c>
      <c r="E34" s="0" t="n">
        <v>80187</v>
      </c>
      <c r="F34" s="0" t="n">
        <v>28867.3</v>
      </c>
      <c r="G34" s="0" t="n">
        <v>12206446.22</v>
      </c>
      <c r="H34" s="0" t="n">
        <v>2949899.83</v>
      </c>
      <c r="I34" s="0" t="n">
        <v>24.2</v>
      </c>
      <c r="J34" s="0" t="s">
        <v>15</v>
      </c>
      <c r="K34" s="0" t="n">
        <v>3</v>
      </c>
    </row>
    <row r="35" customFormat="false" ht="15" hidden="false" customHeight="false" outlineLevel="0" collapsed="false">
      <c r="A35" s="0" t="s">
        <v>31</v>
      </c>
      <c r="B35" s="0" t="s">
        <v>53</v>
      </c>
      <c r="C35" s="0" t="s">
        <v>54</v>
      </c>
      <c r="D35" s="0" t="s">
        <v>14</v>
      </c>
      <c r="E35" s="0" t="n">
        <v>46577</v>
      </c>
      <c r="F35" s="0" t="n">
        <v>20959.6</v>
      </c>
      <c r="G35" s="0" t="n">
        <v>10238127.66</v>
      </c>
      <c r="H35" s="0" t="n">
        <v>2494042.72</v>
      </c>
      <c r="I35" s="0" t="n">
        <v>24.4</v>
      </c>
      <c r="J35" s="0" t="s">
        <v>15</v>
      </c>
      <c r="K35" s="0" t="n">
        <v>4</v>
      </c>
    </row>
    <row r="36" customFormat="false" ht="15" hidden="false" customHeight="false" outlineLevel="0" collapsed="false">
      <c r="A36" s="0" t="s">
        <v>31</v>
      </c>
      <c r="B36" s="0" t="s">
        <v>55</v>
      </c>
      <c r="C36" s="0" t="s">
        <v>56</v>
      </c>
      <c r="D36" s="0" t="s">
        <v>14</v>
      </c>
      <c r="E36" s="0" t="n">
        <v>97462</v>
      </c>
      <c r="F36" s="0" t="n">
        <v>38984.8</v>
      </c>
      <c r="G36" s="0" t="n">
        <v>11680080.95</v>
      </c>
      <c r="H36" s="0" t="n">
        <v>2468500.39</v>
      </c>
      <c r="I36" s="0" t="n">
        <v>21.1</v>
      </c>
      <c r="J36" s="0" t="s">
        <v>15</v>
      </c>
      <c r="K36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100</v>
      </c>
      <c r="C1" s="1" t="s">
        <v>101</v>
      </c>
      <c r="D1" s="1" t="s">
        <v>7</v>
      </c>
      <c r="E1" s="1" t="s">
        <v>8</v>
      </c>
      <c r="F1" s="1" t="s">
        <v>102</v>
      </c>
      <c r="G1" s="1" t="s">
        <v>9</v>
      </c>
    </row>
    <row r="2" customFormat="false" ht="15" hidden="false" customHeight="false" outlineLevel="0" collapsed="false">
      <c r="A2" s="0" t="s">
        <v>11</v>
      </c>
      <c r="B2" s="0" t="n">
        <v>111</v>
      </c>
      <c r="C2" s="0" t="n">
        <v>714886.8</v>
      </c>
      <c r="D2" s="0" t="n">
        <v>297158637.08</v>
      </c>
      <c r="E2" s="0" t="n">
        <v>67454314.28</v>
      </c>
      <c r="F2" s="0" t="n">
        <v>28.4</v>
      </c>
      <c r="G2" s="0" t="n">
        <v>22.7</v>
      </c>
    </row>
    <row r="3" customFormat="false" ht="15" hidden="false" customHeight="false" outlineLevel="0" collapsed="false">
      <c r="A3" s="0" t="s">
        <v>31</v>
      </c>
      <c r="B3" s="0" t="n">
        <v>108</v>
      </c>
      <c r="C3" s="0" t="n">
        <v>578433.3</v>
      </c>
      <c r="D3" s="0" t="n">
        <v>231539710.46</v>
      </c>
      <c r="E3" s="0" t="n">
        <v>52764499.57</v>
      </c>
      <c r="F3" s="0" t="n">
        <v>22.2</v>
      </c>
      <c r="G3" s="0" t="n">
        <v>22.8</v>
      </c>
    </row>
    <row r="4" customFormat="false" ht="15" hidden="false" customHeight="false" outlineLevel="0" collapsed="false">
      <c r="A4" s="0" t="s">
        <v>16</v>
      </c>
      <c r="B4" s="0" t="n">
        <v>88</v>
      </c>
      <c r="C4" s="0" t="n">
        <v>426202</v>
      </c>
      <c r="D4" s="0" t="n">
        <v>232534368</v>
      </c>
      <c r="E4" s="0" t="n">
        <v>50586174.77</v>
      </c>
      <c r="F4" s="0" t="n">
        <v>21.3</v>
      </c>
      <c r="G4" s="0" t="n">
        <v>21.8</v>
      </c>
    </row>
    <row r="5" customFormat="false" ht="15" hidden="false" customHeight="false" outlineLevel="0" collapsed="false">
      <c r="A5" s="0" t="s">
        <v>46</v>
      </c>
      <c r="B5" s="0" t="n">
        <v>73</v>
      </c>
      <c r="C5" s="0" t="n">
        <v>159176.6</v>
      </c>
      <c r="D5" s="0" t="n">
        <v>134006900.98</v>
      </c>
      <c r="E5" s="0" t="n">
        <v>28848859.9</v>
      </c>
      <c r="F5" s="0" t="n">
        <v>12.2</v>
      </c>
      <c r="G5" s="0" t="n">
        <v>21.5</v>
      </c>
    </row>
    <row r="6" customFormat="false" ht="15" hidden="false" customHeight="false" outlineLevel="0" collapsed="false">
      <c r="A6" s="0" t="s">
        <v>28</v>
      </c>
      <c r="B6" s="0" t="n">
        <v>38</v>
      </c>
      <c r="C6" s="0" t="n">
        <v>148330.2</v>
      </c>
      <c r="D6" s="0" t="n">
        <v>65713399.77</v>
      </c>
      <c r="E6" s="0" t="n">
        <v>14574229.52</v>
      </c>
      <c r="F6" s="0" t="n">
        <v>6.1</v>
      </c>
      <c r="G6" s="0" t="n">
        <v>22.2</v>
      </c>
    </row>
    <row r="7" customFormat="false" ht="15" hidden="false" customHeight="false" outlineLevel="0" collapsed="false">
      <c r="A7" s="0" t="s">
        <v>70</v>
      </c>
      <c r="B7" s="0" t="n">
        <v>48</v>
      </c>
      <c r="C7" s="0" t="n">
        <v>84147.6</v>
      </c>
      <c r="D7" s="0" t="n">
        <v>55977163.47</v>
      </c>
      <c r="E7" s="0" t="n">
        <v>13219118.7</v>
      </c>
      <c r="F7" s="0" t="n">
        <v>5.6</v>
      </c>
      <c r="G7" s="0" t="n">
        <v>23.6</v>
      </c>
    </row>
    <row r="8" customFormat="false" ht="15" hidden="false" customHeight="false" outlineLevel="0" collapsed="false">
      <c r="A8" s="0" t="s">
        <v>89</v>
      </c>
      <c r="B8" s="0" t="n">
        <v>41</v>
      </c>
      <c r="C8" s="0" t="n">
        <v>133198.9</v>
      </c>
      <c r="D8" s="0" t="n">
        <v>49003071.67</v>
      </c>
      <c r="E8" s="0" t="n">
        <v>9772830.95</v>
      </c>
      <c r="F8" s="0" t="n">
        <v>4.1</v>
      </c>
      <c r="G8" s="0" t="n">
        <v>19.9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s">
        <v>16</v>
      </c>
      <c r="C2" s="0" t="s">
        <v>103</v>
      </c>
      <c r="D2" s="0" t="s">
        <v>104</v>
      </c>
      <c r="E2" s="0" t="s">
        <v>14</v>
      </c>
      <c r="F2" s="0" t="n">
        <v>4255</v>
      </c>
      <c r="G2" s="0" t="n">
        <v>1616.9</v>
      </c>
      <c r="H2" s="0" t="n">
        <v>466579.56</v>
      </c>
      <c r="I2" s="0" t="n">
        <v>-55366.33</v>
      </c>
      <c r="J2" s="0" t="n">
        <v>-11.9</v>
      </c>
      <c r="K2" s="0" t="s">
        <v>105</v>
      </c>
    </row>
    <row r="3" customFormat="false" ht="15" hidden="false" customHeight="false" outlineLevel="0" collapsed="false">
      <c r="A3" s="0" t="n">
        <v>2</v>
      </c>
      <c r="B3" s="0" t="s">
        <v>46</v>
      </c>
      <c r="C3" s="0" t="s">
        <v>106</v>
      </c>
      <c r="D3" s="0" t="s">
        <v>107</v>
      </c>
      <c r="E3" s="0" t="s">
        <v>14</v>
      </c>
      <c r="F3" s="0" t="n">
        <v>126</v>
      </c>
      <c r="G3" s="0" t="n">
        <v>25.2</v>
      </c>
      <c r="H3" s="0" t="n">
        <v>23206.14</v>
      </c>
      <c r="I3" s="0" t="n">
        <v>-13270.86</v>
      </c>
      <c r="J3" s="0" t="n">
        <v>-57.2</v>
      </c>
      <c r="K3" s="0" t="s">
        <v>105</v>
      </c>
    </row>
    <row r="4" customFormat="false" ht="15" hidden="false" customHeight="false" outlineLevel="0" collapsed="false">
      <c r="A4" s="0" t="n">
        <v>3</v>
      </c>
      <c r="B4" s="0" t="s">
        <v>70</v>
      </c>
      <c r="C4" s="0" t="s">
        <v>108</v>
      </c>
      <c r="D4" s="0" t="s">
        <v>109</v>
      </c>
      <c r="E4" s="0" t="s">
        <v>19</v>
      </c>
      <c r="F4" s="0" t="n">
        <v>139.3</v>
      </c>
      <c r="G4" s="0" t="n">
        <v>139.3</v>
      </c>
      <c r="H4" s="0" t="n">
        <v>33025.02</v>
      </c>
      <c r="I4" s="0" t="n">
        <v>-409.38</v>
      </c>
      <c r="J4" s="0" t="n">
        <v>-1.2</v>
      </c>
      <c r="K4" s="0" t="s">
        <v>105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110</v>
      </c>
      <c r="D5" s="0" t="s">
        <v>111</v>
      </c>
      <c r="E5" s="0" t="s">
        <v>14</v>
      </c>
      <c r="F5" s="0" t="n">
        <v>1455</v>
      </c>
      <c r="G5" s="0" t="n">
        <v>509.2</v>
      </c>
      <c r="H5" s="0" t="n">
        <v>140800.35</v>
      </c>
      <c r="I5" s="0" t="n">
        <v>-267.54</v>
      </c>
      <c r="J5" s="0" t="n">
        <v>-0.2</v>
      </c>
      <c r="K5" s="0" t="s">
        <v>105</v>
      </c>
    </row>
    <row r="6" customFormat="false" ht="15" hidden="false" customHeight="false" outlineLevel="0" collapsed="false">
      <c r="A6" s="0" t="n">
        <v>5</v>
      </c>
      <c r="B6" s="0" t="s">
        <v>31</v>
      </c>
      <c r="C6" s="0" t="s">
        <v>112</v>
      </c>
      <c r="D6" s="0" t="s">
        <v>113</v>
      </c>
      <c r="E6" s="0" t="s">
        <v>14</v>
      </c>
      <c r="F6" s="0" t="n">
        <v>1978</v>
      </c>
      <c r="G6" s="0" t="n">
        <v>791.2</v>
      </c>
      <c r="H6" s="0" t="n">
        <v>205505.54</v>
      </c>
      <c r="I6" s="0" t="n">
        <v>-68</v>
      </c>
      <c r="J6" s="0" t="n">
        <v>0</v>
      </c>
      <c r="K6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114</v>
      </c>
      <c r="B1" s="1" t="s">
        <v>115</v>
      </c>
    </row>
    <row r="2" customFormat="false" ht="15" hidden="false" customHeight="false" outlineLevel="0" collapsed="false">
      <c r="A2" s="0" t="s">
        <v>116</v>
      </c>
      <c r="B2" s="0" t="s">
        <v>117</v>
      </c>
    </row>
    <row r="3" customFormat="false" ht="15" hidden="false" customHeight="false" outlineLevel="0" collapsed="false">
      <c r="A3" s="0" t="s">
        <v>118</v>
      </c>
      <c r="B3" s="0" t="s">
        <v>119</v>
      </c>
    </row>
    <row r="4" customFormat="false" ht="15" hidden="false" customHeight="false" outlineLevel="0" collapsed="false">
      <c r="A4" s="0" t="s">
        <v>120</v>
      </c>
      <c r="B4" s="0" t="s">
        <v>121</v>
      </c>
    </row>
    <row r="5" customFormat="false" ht="15" hidden="false" customHeight="false" outlineLevel="0" collapsed="false">
      <c r="A5" s="0" t="s">
        <v>122</v>
      </c>
      <c r="B5" s="0" t="s">
        <v>123</v>
      </c>
    </row>
    <row r="6" customFormat="false" ht="15" hidden="false" customHeight="false" outlineLevel="0" collapsed="false">
      <c r="A6" s="0" t="s">
        <v>124</v>
      </c>
      <c r="B6" s="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2026-08-11T15:29:51Z</dcterms:created>
  <dc:creator>openpyxl</dc:creator>
  <dc:description/>
  <dc:language>ru-RU</dc:language>
  <cp:lastModifiedBy/>
  <dcterms:modified xsi:type="dcterms:W3CDTF">2026-08-12T02:59:22Z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